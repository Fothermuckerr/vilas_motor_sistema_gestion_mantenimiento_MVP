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uta de insumos" sheetId="1" r:id="rId4"/>
    <sheet state="visible" name="Base de datos" sheetId="2" r:id="rId5"/>
  </sheets>
  <definedNames/>
  <calcPr/>
  <extLst>
    <ext uri="GoogleSheetsCustomDataVersion2">
      <go:sheetsCustomData xmlns:go="http://customooxmlschemas.google.com/" r:id="rId6" roundtripDataChecksum="fUYdPjvi0gFCyUmhXpPboXj5+As2GCZViceMGW10U/U="/>
    </ext>
  </extLst>
</workbook>
</file>

<file path=xl/sharedStrings.xml><?xml version="1.0" encoding="utf-8"?>
<sst xmlns="http://schemas.openxmlformats.org/spreadsheetml/2006/main" count="33" uniqueCount="24">
  <si>
    <t>CANT</t>
  </si>
  <si>
    <t>INSUMOS</t>
  </si>
  <si>
    <t xml:space="preserve">SISTEMA DE GESTIÓN </t>
  </si>
  <si>
    <r>
      <rPr>
        <rFont val="Arial"/>
        <b/>
        <color theme="1"/>
        <sz val="9.0"/>
      </rPr>
      <t>Codigo:</t>
    </r>
    <r>
      <rPr>
        <rFont val="Arial"/>
        <color theme="1"/>
        <sz val="9.0"/>
      </rPr>
      <t xml:space="preserve"> PO-PL-01-R2</t>
    </r>
  </si>
  <si>
    <t xml:space="preserve">PAUTA INSUMOS </t>
  </si>
  <si>
    <t>ACEITE MOTOR Total Lub Die Rubia Tir 7400   15W40</t>
  </si>
  <si>
    <r>
      <rPr>
        <rFont val="Arial"/>
        <b/>
        <color theme="1"/>
        <sz val="9.0"/>
      </rPr>
      <t>Fecha</t>
    </r>
    <r>
      <rPr>
        <rFont val="Arial"/>
        <color theme="1"/>
        <sz val="9.0"/>
      </rPr>
      <t>: 2025</t>
    </r>
  </si>
  <si>
    <t xml:space="preserve">                                                  SERVICIO MANTENIMIENTO</t>
  </si>
  <si>
    <t>HRS.</t>
  </si>
  <si>
    <t>FILTRO ACEITE DE MOTOR  02/971635 // W 818/8</t>
  </si>
  <si>
    <t>GENERADOR VG10 - VG11</t>
  </si>
  <si>
    <r>
      <rPr>
        <rFont val="Arial"/>
        <b/>
        <color theme="1"/>
        <sz val="9.0"/>
      </rPr>
      <t>Rev</t>
    </r>
    <r>
      <rPr>
        <rFont val="Arial"/>
        <color theme="1"/>
        <sz val="9.0"/>
      </rPr>
      <t>: 04</t>
    </r>
  </si>
  <si>
    <t>G45QX</t>
  </si>
  <si>
    <t>FILTRO COMBUSTIBLE 02/971620</t>
  </si>
  <si>
    <t>FILTRO DE AIRE EXTERIOR 02/971664</t>
  </si>
  <si>
    <t>FILTRO DE AIRE INTERIOR</t>
  </si>
  <si>
    <t xml:space="preserve">LTS. REFRIGERANTE </t>
  </si>
  <si>
    <t>CORREA VENTILADOR JCB G45QX</t>
  </si>
  <si>
    <t xml:space="preserve">LOGO ADHESIVO MANTENCION </t>
  </si>
  <si>
    <t/>
  </si>
  <si>
    <t>NOTA:</t>
  </si>
  <si>
    <t xml:space="preserve">REFRIGERANTE coolelf Auto Supra -37 -C REVISAR, CONSIDERAR RELLENO          </t>
  </si>
  <si>
    <t>REVISAR Y CAMBIAR CORREAS SEGÚN CONDICIONES</t>
  </si>
  <si>
    <t>REVISAR Y CAMBIAR FILTROS DE AIRE SEGÚN CONDICIONES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</si>
</sst>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</font>
    <font>
      <sz val="9.0"/>
      <color theme="0"/>
      <name val="Arial"/>
    </font>
    <font/>
    <font>
      <b/>
      <sz val="9.0"/>
      <color theme="1"/>
      <name val="Arial"/>
    </font>
    <font>
      <sz val="9.0"/>
      <color theme="1"/>
      <name val="Arial"/>
    </font>
    <font>
      <b/>
      <sz val="11.0"/>
      <color theme="1"/>
      <name val="Calibri"/>
    </font>
    <font>
      <b/>
      <color theme="1"/>
      <name val="Calibri"/>
    </font>
    <font>
      <b/>
      <sz val="9.0"/>
      <color theme="0"/>
      <name val="Arial"/>
    </font>
    <font>
      <b/>
      <sz val="9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2" numFmtId="0" xfId="0" applyFont="1"/>
    <xf borderId="2" fillId="0" fontId="3" numFmtId="0" xfId="0" applyBorder="1" applyFont="1"/>
    <xf borderId="3" fillId="0" fontId="4" numFmtId="0" xfId="0" applyBorder="1" applyFont="1"/>
    <xf borderId="2" fillId="0" fontId="5" numFmtId="0" xfId="0" applyAlignment="1" applyBorder="1" applyFont="1">
      <alignment horizontal="center" vertical="center"/>
    </xf>
    <xf borderId="4" fillId="0" fontId="4" numFmtId="0" xfId="0" applyBorder="1" applyFont="1"/>
    <xf borderId="2" fillId="0" fontId="6" numFmtId="0" xfId="0" applyAlignment="1" applyBorder="1" applyFont="1">
      <alignment horizontal="left" readingOrder="0" vertical="center"/>
    </xf>
    <xf borderId="0" fillId="0" fontId="6" numFmtId="0" xfId="0" applyFont="1"/>
    <xf borderId="1" fillId="3" fontId="7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4" fontId="7" numFmtId="0" xfId="0" applyAlignment="1" applyBorder="1" applyFill="1" applyFont="1">
      <alignment vertical="bottom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" fillId="3" fontId="7" numFmtId="0" xfId="0" applyAlignment="1" applyBorder="1" applyFont="1">
      <alignment horizontal="center" readingOrder="0"/>
    </xf>
    <xf borderId="1" fillId="4" fontId="8" numFmtId="0" xfId="0" applyAlignment="1" applyBorder="1" applyFont="1">
      <alignment shrinkToFit="0" vertical="bottom" wrapText="1"/>
    </xf>
    <xf borderId="9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right" readingOrder="0" vertical="center"/>
    </xf>
    <xf borderId="1" fillId="3" fontId="7" numFmtId="0" xfId="0" applyAlignment="1" applyBorder="1" applyFont="1">
      <alignment horizontal="center"/>
    </xf>
    <xf borderId="1" fillId="0" fontId="6" numFmtId="0" xfId="0" applyAlignment="1" applyBorder="1" applyFont="1">
      <alignment horizontal="left" vertical="center"/>
    </xf>
    <xf borderId="1" fillId="4" fontId="8" numFmtId="0" xfId="0" applyAlignment="1" applyBorder="1" applyFont="1">
      <alignment readingOrder="0" shrinkToFit="0" wrapText="1"/>
    </xf>
    <xf borderId="9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readingOrder="0" vertical="bottom"/>
    </xf>
    <xf borderId="0" fillId="0" fontId="6" numFmtId="0" xfId="0" applyAlignment="1" applyFont="1">
      <alignment horizontal="center"/>
    </xf>
    <xf borderId="13" fillId="2" fontId="9" numFmtId="0" xfId="0" applyAlignment="1" applyBorder="1" applyFont="1">
      <alignment horizontal="center" vertical="center"/>
    </xf>
    <xf borderId="9" fillId="2" fontId="9" numFmtId="0" xfId="0" applyAlignment="1" applyBorder="1" applyFont="1">
      <alignment horizontal="center"/>
    </xf>
    <xf borderId="1" fillId="4" fontId="8" numFmtId="0" xfId="0" applyAlignment="1" applyBorder="1" applyFont="1">
      <alignment readingOrder="0" shrinkToFit="0" vertical="bottom" wrapText="1"/>
    </xf>
    <xf borderId="0" fillId="0" fontId="3" numFmtId="0" xfId="0" applyFont="1"/>
    <xf borderId="9" fillId="0" fontId="7" numFmtId="0" xfId="0" applyAlignment="1" applyBorder="1" applyFont="1">
      <alignment vertical="bottom"/>
    </xf>
    <xf borderId="1" fillId="3" fontId="7" numFmtId="0" xfId="0" applyAlignment="1" applyBorder="1" applyFont="1">
      <alignment horizontal="center" vertical="bottom"/>
    </xf>
    <xf borderId="1" fillId="4" fontId="8" numFmtId="0" xfId="0" applyAlignment="1" applyBorder="1" applyFont="1">
      <alignment vertical="bottom"/>
    </xf>
    <xf borderId="1" fillId="0" fontId="6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9" fillId="0" fontId="6" numFmtId="0" xfId="0" applyBorder="1" applyFont="1"/>
    <xf borderId="9" fillId="2" fontId="10" numFmtId="0" xfId="0" applyAlignment="1" applyBorder="1" applyFont="1">
      <alignment horizontal="center" vertical="bottom"/>
    </xf>
    <xf borderId="9" fillId="0" fontId="6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bottom"/>
    </xf>
    <xf borderId="9" fillId="0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150495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3" width="10.71"/>
    <col customWidth="1" min="4" max="4" width="36.71"/>
    <col customWidth="1" min="5" max="5" width="9.43"/>
    <col customWidth="1" min="6" max="6" width="8.14"/>
    <col customWidth="1" min="7" max="7" width="5.71"/>
    <col customWidth="1" min="8" max="8" width="13.43"/>
    <col customWidth="1" min="9" max="24" width="10.71"/>
  </cols>
  <sheetData>
    <row r="1">
      <c r="A1" s="4"/>
      <c r="B1" s="5"/>
      <c r="C1" s="6" t="s">
        <v>2</v>
      </c>
      <c r="D1" s="7"/>
      <c r="E1" s="7"/>
      <c r="F1" s="5"/>
      <c r="G1" s="8" t="s">
        <v>3</v>
      </c>
      <c r="H1" s="5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1"/>
      <c r="B2" s="12"/>
      <c r="C2" s="13"/>
      <c r="D2" s="14"/>
      <c r="E2" s="14"/>
      <c r="F2" s="16"/>
      <c r="G2" s="13"/>
      <c r="H2" s="1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1"/>
      <c r="B3" s="12"/>
      <c r="C3" s="21" t="s">
        <v>4</v>
      </c>
      <c r="D3" s="17"/>
      <c r="E3" s="17"/>
      <c r="F3" s="18"/>
      <c r="G3" s="22" t="s">
        <v>6</v>
      </c>
      <c r="H3" s="5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1"/>
      <c r="B4" s="12"/>
      <c r="C4" s="23" t="s">
        <v>7</v>
      </c>
      <c r="D4" s="18"/>
      <c r="E4" s="24">
        <v>500.0</v>
      </c>
      <c r="F4" s="26" t="s">
        <v>8</v>
      </c>
      <c r="G4" s="13"/>
      <c r="H4" s="16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1"/>
      <c r="B5" s="12"/>
      <c r="C5" s="28" t="s">
        <v>10</v>
      </c>
      <c r="D5" s="17"/>
      <c r="E5" s="17"/>
      <c r="F5" s="18"/>
      <c r="G5" s="22" t="s">
        <v>11</v>
      </c>
      <c r="H5" s="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3"/>
      <c r="B6" s="16"/>
      <c r="C6" s="29" t="s">
        <v>12</v>
      </c>
      <c r="D6" s="17"/>
      <c r="E6" s="17"/>
      <c r="F6" s="18"/>
      <c r="G6" s="13"/>
      <c r="H6" s="16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9"/>
      <c r="B7" s="31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9"/>
      <c r="B8" s="32" t="s">
        <v>0</v>
      </c>
      <c r="C8" s="33" t="s">
        <v>1</v>
      </c>
      <c r="D8" s="17"/>
      <c r="E8" s="17"/>
      <c r="F8" s="1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35">
        <f>E$4</f>
        <v>500</v>
      </c>
      <c r="B9" s="39">
        <f t="array" ref="B9:B16">IFERROR(VLOOKUP(A9:A16,'Base de datos'!A5:E30,2,0),"")</f>
        <v>11</v>
      </c>
      <c r="C9" s="41" t="str">
        <f t="array" ref="C9:C16">IFERROR(VLOOKUP(A9:A16,'Base de datos'!A5:E30,3,0),"")</f>
        <v>ACEITE MOTOR Total Lub Die Rubia Tir 7400   15W40</v>
      </c>
      <c r="D9" s="17"/>
      <c r="E9" s="17"/>
      <c r="F9" s="1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35">
        <f t="shared" ref="A10:A16" si="1">A9+1</f>
        <v>501</v>
      </c>
      <c r="B10" s="39">
        <v>1.0</v>
      </c>
      <c r="C10" s="41" t="s">
        <v>9</v>
      </c>
      <c r="D10" s="17"/>
      <c r="E10" s="17"/>
      <c r="F10" s="1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35">
        <f t="shared" si="1"/>
        <v>502</v>
      </c>
      <c r="B11" s="39">
        <v>1.0</v>
      </c>
      <c r="C11" s="41" t="s">
        <v>13</v>
      </c>
      <c r="D11" s="17"/>
      <c r="E11" s="17"/>
      <c r="F11" s="1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35">
        <f t="shared" si="1"/>
        <v>503</v>
      </c>
      <c r="B12" s="39">
        <v>1.0</v>
      </c>
      <c r="C12" s="41" t="s">
        <v>14</v>
      </c>
      <c r="D12" s="17"/>
      <c r="E12" s="17"/>
      <c r="F12" s="1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35">
        <f t="shared" si="1"/>
        <v>504</v>
      </c>
      <c r="B13" s="39">
        <v>1.0</v>
      </c>
      <c r="C13" s="41" t="s">
        <v>18</v>
      </c>
      <c r="D13" s="17"/>
      <c r="E13" s="17"/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35">
        <f t="shared" si="1"/>
        <v>505</v>
      </c>
      <c r="B14" s="39"/>
      <c r="C14" s="41"/>
      <c r="D14" s="17"/>
      <c r="E14" s="17"/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35">
        <f t="shared" si="1"/>
        <v>506</v>
      </c>
      <c r="B15" s="39" t="s">
        <v>19</v>
      </c>
      <c r="C15" s="41" t="s">
        <v>19</v>
      </c>
      <c r="D15" s="17"/>
      <c r="E15" s="17"/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35">
        <f t="shared" si="1"/>
        <v>507</v>
      </c>
      <c r="B16" s="39" t="s">
        <v>19</v>
      </c>
      <c r="C16" s="41" t="s">
        <v>19</v>
      </c>
      <c r="D16" s="17"/>
      <c r="E16" s="17"/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9"/>
      <c r="B17" s="3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9"/>
      <c r="B18" s="3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9"/>
      <c r="B19" s="31"/>
      <c r="C19" s="42" t="s">
        <v>20</v>
      </c>
      <c r="D19" s="17"/>
      <c r="E19" s="1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9"/>
      <c r="B20" s="9"/>
      <c r="C20" s="43" t="s">
        <v>21</v>
      </c>
      <c r="D20" s="17"/>
      <c r="E20" s="1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9"/>
      <c r="B21" s="9"/>
      <c r="C21" s="45" t="s">
        <v>22</v>
      </c>
      <c r="D21" s="17"/>
      <c r="E21" s="1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9"/>
      <c r="B22" s="9"/>
      <c r="C22" s="45" t="s">
        <v>23</v>
      </c>
      <c r="D22" s="17"/>
      <c r="E22" s="1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9"/>
      <c r="B32" s="3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9"/>
      <c r="B33" s="3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9"/>
      <c r="B34" s="3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9"/>
      <c r="B35" s="3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9"/>
      <c r="B36" s="3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9"/>
      <c r="B37" s="3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9"/>
      <c r="B38" s="31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9"/>
      <c r="B39" s="3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9"/>
      <c r="B40" s="3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9"/>
      <c r="B41" s="3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9"/>
      <c r="B42" s="3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9"/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9"/>
      <c r="B44" s="3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9"/>
      <c r="B45" s="3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9"/>
      <c r="B46" s="3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31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31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31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31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31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31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31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31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31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31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3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3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31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31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31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3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31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3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31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31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31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3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31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31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3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3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31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31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31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31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31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3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31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31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31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31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31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31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31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31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31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3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31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3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3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31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31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31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31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31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31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31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31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31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31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31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31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31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31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31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31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31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31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31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31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31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31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31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31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31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31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31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31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31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31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31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31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31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31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31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31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31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31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31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31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31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31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31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31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31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31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31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31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31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31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31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31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31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31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31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31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31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31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31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31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31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31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31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31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31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31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31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31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31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31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31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31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31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31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31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31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31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31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31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31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31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31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31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31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31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31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31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31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31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31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31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31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31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31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31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31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31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31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31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31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31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31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31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31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31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31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31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31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31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31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31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31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31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31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31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31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31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31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31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31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31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31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31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31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31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31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31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31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31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31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31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31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31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31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31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31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31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31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3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31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31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31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31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31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31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31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31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31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31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31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31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31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31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31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31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31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31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31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31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31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31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31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31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31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31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31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31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31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31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31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31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31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31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31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31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31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31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31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31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31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31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31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31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31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31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31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31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31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31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31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31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31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31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31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31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31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31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31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31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31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31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31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31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31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31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31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31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31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31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31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31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31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31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31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31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31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31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31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31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31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31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31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31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31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31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31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31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31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31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31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31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31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31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31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31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31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31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31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31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31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31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31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31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31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31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31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31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31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31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31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31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31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31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31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31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31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31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31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31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31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31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31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31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31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31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31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31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31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31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31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31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31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31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31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31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31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31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31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31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31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31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31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31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31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31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31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31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31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31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31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31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31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31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31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31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31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31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31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31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31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31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31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31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31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31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31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31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31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31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31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31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31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31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31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31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31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31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31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31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31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31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31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31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31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31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31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31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31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31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31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31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31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31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31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31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31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31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31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31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31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31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31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31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31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31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31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31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31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31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31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31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31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31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31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31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31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31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31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31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31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31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31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31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31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31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31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31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31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31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31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31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31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31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31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31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31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31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31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31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31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31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31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31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31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31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31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31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31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31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31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31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31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31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31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31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31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31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31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31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31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31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31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31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31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31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31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31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31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31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31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31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31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31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31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31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31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31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31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31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31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31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31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31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31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31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31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31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31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31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31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31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31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31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31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31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31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31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31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31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31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31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31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31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31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31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31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31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31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31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31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31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31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31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31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31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31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31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31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31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31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31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31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31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31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31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31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31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31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31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31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31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31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31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31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31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31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31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31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31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31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31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31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31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31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31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31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31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31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31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31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31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31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31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31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31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31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31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31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31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31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31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31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31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31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31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31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31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31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31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31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31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31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31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31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31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31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31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31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31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31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31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31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31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31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31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31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31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31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31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31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31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31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31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31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31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31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31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31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31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31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31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31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31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31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31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31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31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31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31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31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31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31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31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31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31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31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31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31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31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31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31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31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31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31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31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31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31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31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31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31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31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31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31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31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31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31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31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31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31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31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31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31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31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31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31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31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31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31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31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31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31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31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31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31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31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31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31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31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31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31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31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31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31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31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31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31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31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31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31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31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31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31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31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31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31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31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31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31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31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31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31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31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31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31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31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31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31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31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31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31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31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31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31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31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31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31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31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31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31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31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31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31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31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31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31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31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31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31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31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31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31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31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31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31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31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31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31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31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31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31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31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31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31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31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31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31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31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31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31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31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31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31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31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31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31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31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31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31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31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31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31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31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31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31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31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31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31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31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31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31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31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31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31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31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31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31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31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31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31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31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31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31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31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31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31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31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31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31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31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31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31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31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31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31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31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31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31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31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31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31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31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31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31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31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31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31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31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31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31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31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31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31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31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31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31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31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31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31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31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31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31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31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31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31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31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31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31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31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31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31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31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31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31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31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31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31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31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31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31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31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31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31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31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31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31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31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31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31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31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31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31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31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31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31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31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31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31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31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31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31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31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31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31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31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31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31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31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31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31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31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31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31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31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31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31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31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31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31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31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31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31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31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31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31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31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31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31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31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31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31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31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31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31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31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31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31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31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31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31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31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31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31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31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31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31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31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31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31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31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31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31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31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31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31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31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31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31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31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31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31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31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31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31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31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31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31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31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31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31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31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31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31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31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31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31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31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31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31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31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31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31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31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31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31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31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31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31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31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31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31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31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31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31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31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31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31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31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31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31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31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31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31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31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31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31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31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31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31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31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31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31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31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31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31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31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31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</sheetData>
  <mergeCells count="22">
    <mergeCell ref="A1:B6"/>
    <mergeCell ref="C1:F2"/>
    <mergeCell ref="G1:H2"/>
    <mergeCell ref="C3:F3"/>
    <mergeCell ref="G3:H4"/>
    <mergeCell ref="C4:D4"/>
    <mergeCell ref="G5:H6"/>
    <mergeCell ref="C13:F13"/>
    <mergeCell ref="C14:F14"/>
    <mergeCell ref="C15:F15"/>
    <mergeCell ref="C16:F16"/>
    <mergeCell ref="C19:E19"/>
    <mergeCell ref="C20:E20"/>
    <mergeCell ref="C21:E21"/>
    <mergeCell ref="C22:E22"/>
    <mergeCell ref="C5:F5"/>
    <mergeCell ref="C6:F6"/>
    <mergeCell ref="C8:F8"/>
    <mergeCell ref="C9:F9"/>
    <mergeCell ref="C10:F10"/>
    <mergeCell ref="C11:F11"/>
    <mergeCell ref="C12:F12"/>
  </mergeCells>
  <dataValidations>
    <dataValidation type="list" allowBlank="1" showErrorMessage="1" sqref="E4">
      <formula1>'Base de datos'!$K$4:$K$7</formula1>
    </dataValidation>
  </dataValidation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57.71"/>
    <col customWidth="1" min="9" max="24" width="10.71"/>
  </cols>
  <sheetData>
    <row r="4">
      <c r="G4" s="1" t="s">
        <v>0</v>
      </c>
      <c r="H4" s="2" t="s">
        <v>1</v>
      </c>
      <c r="K4" s="3">
        <v>250.0</v>
      </c>
    </row>
    <row r="5">
      <c r="A5" s="3">
        <v>250.0</v>
      </c>
      <c r="B5" s="10">
        <f t="shared" ref="B5:C5" si="1">G5</f>
        <v>11</v>
      </c>
      <c r="C5" s="15" t="str">
        <f t="shared" si="1"/>
        <v>ACEITE MOTOR Total Lub Die Rubia Tir 7400   15W40</v>
      </c>
      <c r="D5" s="17"/>
      <c r="E5" s="18"/>
      <c r="G5" s="19">
        <v>11.0</v>
      </c>
      <c r="H5" s="20" t="s">
        <v>5</v>
      </c>
      <c r="K5" s="3">
        <v>500.0</v>
      </c>
    </row>
    <row r="6">
      <c r="A6" s="3">
        <f t="shared" ref="A6:A9" si="3">A5+1</f>
        <v>251</v>
      </c>
      <c r="B6" s="10">
        <f t="shared" ref="B6:C6" si="2">G6</f>
        <v>1</v>
      </c>
      <c r="C6" s="15" t="str">
        <f t="shared" si="2"/>
        <v>FILTRO ACEITE DE MOTOR  02/971635 // W 818/8</v>
      </c>
      <c r="D6" s="17"/>
      <c r="E6" s="18"/>
      <c r="G6" s="25">
        <v>1.0</v>
      </c>
      <c r="H6" s="27" t="s">
        <v>9</v>
      </c>
      <c r="K6" s="3">
        <v>1000.0</v>
      </c>
    </row>
    <row r="7">
      <c r="A7" s="3">
        <f t="shared" si="3"/>
        <v>252</v>
      </c>
      <c r="B7" s="10">
        <f t="shared" ref="B7:C7" si="4">G7</f>
        <v>1</v>
      </c>
      <c r="C7" s="15" t="str">
        <f t="shared" si="4"/>
        <v>FILTRO COMBUSTIBLE 02/971620</v>
      </c>
      <c r="D7" s="17"/>
      <c r="E7" s="18"/>
      <c r="G7" s="10">
        <v>1.0</v>
      </c>
      <c r="H7" s="30" t="s">
        <v>13</v>
      </c>
      <c r="K7" s="3">
        <v>2000.0</v>
      </c>
    </row>
    <row r="8">
      <c r="A8" s="3">
        <f t="shared" si="3"/>
        <v>253</v>
      </c>
      <c r="B8" s="10">
        <f t="shared" ref="B8:C8" si="5">G8</f>
        <v>1</v>
      </c>
      <c r="C8" s="15" t="str">
        <f t="shared" si="5"/>
        <v>FILTRO DE AIRE EXTERIOR 02/971664</v>
      </c>
      <c r="D8" s="17"/>
      <c r="E8" s="18"/>
      <c r="G8" s="25">
        <v>1.0</v>
      </c>
      <c r="H8" s="34" t="s">
        <v>14</v>
      </c>
    </row>
    <row r="9">
      <c r="A9" s="3">
        <f t="shared" si="3"/>
        <v>254</v>
      </c>
      <c r="B9" s="10">
        <f t="shared" ref="B9:C9" si="6">G12</f>
        <v>1</v>
      </c>
      <c r="C9" s="15" t="str">
        <f t="shared" si="6"/>
        <v>LOGO ADHESIVO MANTENCION </v>
      </c>
      <c r="D9" s="17"/>
      <c r="E9" s="18"/>
      <c r="G9" s="25">
        <v>1.0</v>
      </c>
      <c r="H9" s="34" t="s">
        <v>15</v>
      </c>
    </row>
    <row r="10">
      <c r="G10" s="19">
        <v>10.0</v>
      </c>
      <c r="H10" s="20" t="s">
        <v>16</v>
      </c>
    </row>
    <row r="11">
      <c r="A11" s="3">
        <v>500.0</v>
      </c>
      <c r="B11" s="10">
        <f t="shared" ref="B11:C11" si="7">G5</f>
        <v>11</v>
      </c>
      <c r="C11" s="36" t="str">
        <f t="shared" si="7"/>
        <v>ACEITE MOTOR Total Lub Die Rubia Tir 7400   15W40</v>
      </c>
      <c r="D11" s="17"/>
      <c r="E11" s="18"/>
      <c r="G11" s="10">
        <v>1.0</v>
      </c>
      <c r="H11" s="30" t="s">
        <v>17</v>
      </c>
    </row>
    <row r="12">
      <c r="A12" s="3">
        <f t="shared" ref="A12:A16" si="9">A11+1</f>
        <v>501</v>
      </c>
      <c r="B12" s="10">
        <f t="shared" ref="B12:C12" si="8">G6</f>
        <v>1</v>
      </c>
      <c r="C12" s="36" t="str">
        <f t="shared" si="8"/>
        <v>FILTRO ACEITE DE MOTOR  02/971635 // W 818/8</v>
      </c>
      <c r="D12" s="17"/>
      <c r="E12" s="18"/>
      <c r="G12" s="37">
        <v>1.0</v>
      </c>
      <c r="H12" s="38" t="s">
        <v>18</v>
      </c>
    </row>
    <row r="13">
      <c r="A13" s="3">
        <f t="shared" si="9"/>
        <v>502</v>
      </c>
      <c r="B13" s="10">
        <f t="shared" ref="B13:C13" si="10">G7</f>
        <v>1</v>
      </c>
      <c r="C13" s="36" t="str">
        <f t="shared" si="10"/>
        <v>FILTRO COMBUSTIBLE 02/971620</v>
      </c>
      <c r="D13" s="17"/>
      <c r="E13" s="18"/>
    </row>
    <row r="14">
      <c r="A14" s="3">
        <f t="shared" si="9"/>
        <v>503</v>
      </c>
      <c r="B14" s="10">
        <f t="shared" ref="B14:C14" si="11">G8</f>
        <v>1</v>
      </c>
      <c r="C14" s="36" t="str">
        <f t="shared" si="11"/>
        <v>FILTRO DE AIRE EXTERIOR 02/971664</v>
      </c>
      <c r="D14" s="17"/>
      <c r="E14" s="18"/>
    </row>
    <row r="15">
      <c r="A15" s="3">
        <f t="shared" si="9"/>
        <v>504</v>
      </c>
      <c r="B15" s="10">
        <f t="shared" ref="B15:C15" si="12">G12</f>
        <v>1</v>
      </c>
      <c r="C15" s="36" t="str">
        <f t="shared" si="12"/>
        <v>LOGO ADHESIVO MANTENCION </v>
      </c>
      <c r="D15" s="17"/>
      <c r="E15" s="18"/>
    </row>
    <row r="16">
      <c r="A16" s="3">
        <f t="shared" si="9"/>
        <v>505</v>
      </c>
    </row>
    <row r="17">
      <c r="A17" s="40">
        <v>1000.0</v>
      </c>
      <c r="B17" s="25">
        <f t="shared" ref="B17:C17" si="13">G5</f>
        <v>11</v>
      </c>
      <c r="C17" s="36" t="str">
        <f t="shared" si="13"/>
        <v>ACEITE MOTOR Total Lub Die Rubia Tir 7400   15W40</v>
      </c>
      <c r="D17" s="17"/>
      <c r="E17" s="18"/>
    </row>
    <row r="18">
      <c r="A18" s="3">
        <f t="shared" ref="A18:A23" si="15">A17+1</f>
        <v>1001</v>
      </c>
      <c r="B18" s="25">
        <f t="shared" ref="B18:C18" si="14">G6</f>
        <v>1</v>
      </c>
      <c r="C18" s="36" t="str">
        <f t="shared" si="14"/>
        <v>FILTRO ACEITE DE MOTOR  02/971635 // W 818/8</v>
      </c>
      <c r="D18" s="17"/>
      <c r="E18" s="18"/>
    </row>
    <row r="19">
      <c r="A19" s="3">
        <f t="shared" si="15"/>
        <v>1002</v>
      </c>
      <c r="B19" s="25">
        <f t="shared" ref="B19:C19" si="16">G7</f>
        <v>1</v>
      </c>
      <c r="C19" s="36" t="str">
        <f t="shared" si="16"/>
        <v>FILTRO COMBUSTIBLE 02/971620</v>
      </c>
      <c r="D19" s="17"/>
      <c r="E19" s="18"/>
    </row>
    <row r="20">
      <c r="A20" s="3">
        <f t="shared" si="15"/>
        <v>1003</v>
      </c>
      <c r="B20" s="25">
        <f t="shared" ref="B20:C20" si="17">G8</f>
        <v>1</v>
      </c>
      <c r="C20" s="36" t="str">
        <f t="shared" si="17"/>
        <v>FILTRO DE AIRE EXTERIOR 02/971664</v>
      </c>
      <c r="D20" s="17"/>
      <c r="E20" s="18"/>
    </row>
    <row r="21" ht="15.75" customHeight="1">
      <c r="A21" s="3">
        <f t="shared" si="15"/>
        <v>1004</v>
      </c>
      <c r="B21" s="25">
        <f t="shared" ref="B21:C21" si="18">G9</f>
        <v>1</v>
      </c>
      <c r="C21" s="36" t="str">
        <f t="shared" si="18"/>
        <v>FILTRO DE AIRE INTERIOR</v>
      </c>
      <c r="D21" s="17"/>
      <c r="E21" s="18"/>
    </row>
    <row r="22" ht="15.75" customHeight="1">
      <c r="A22" s="3">
        <f t="shared" si="15"/>
        <v>1005</v>
      </c>
      <c r="B22" s="25">
        <f t="shared" ref="B22:C22" si="19">G12</f>
        <v>1</v>
      </c>
      <c r="C22" s="36" t="str">
        <f t="shared" si="19"/>
        <v>LOGO ADHESIVO MANTENCION </v>
      </c>
      <c r="D22" s="17"/>
      <c r="E22" s="18"/>
    </row>
    <row r="23" ht="15.75" customHeight="1">
      <c r="A23" s="3">
        <f t="shared" si="15"/>
        <v>1006</v>
      </c>
    </row>
    <row r="24" ht="15.75" customHeight="1">
      <c r="A24" s="40"/>
    </row>
    <row r="25" ht="15.75" customHeight="1">
      <c r="A25" s="40">
        <v>2000.0</v>
      </c>
      <c r="B25" s="25">
        <f t="shared" ref="B25:C25" si="20">G$5</f>
        <v>11</v>
      </c>
      <c r="C25" s="36" t="str">
        <f t="shared" si="20"/>
        <v>ACEITE MOTOR Total Lub Die Rubia Tir 7400   15W40</v>
      </c>
      <c r="D25" s="17"/>
      <c r="E25" s="18"/>
    </row>
    <row r="26" ht="15.75" customHeight="1">
      <c r="A26" s="3">
        <f t="shared" ref="A26:A30" si="22">A25+1</f>
        <v>2001</v>
      </c>
      <c r="B26" s="25">
        <f t="shared" ref="B26:C26" si="21">G$6</f>
        <v>1</v>
      </c>
      <c r="C26" s="36" t="str">
        <f t="shared" si="21"/>
        <v>FILTRO ACEITE DE MOTOR  02/971635 // W 818/8</v>
      </c>
      <c r="D26" s="17"/>
      <c r="E26" s="18"/>
    </row>
    <row r="27" ht="15.75" customHeight="1">
      <c r="A27" s="3">
        <f t="shared" si="22"/>
        <v>2002</v>
      </c>
      <c r="B27" s="25">
        <f t="shared" ref="B27:C27" si="23">G$7</f>
        <v>1</v>
      </c>
      <c r="C27" s="36" t="str">
        <f t="shared" si="23"/>
        <v>FILTRO COMBUSTIBLE 02/971620</v>
      </c>
      <c r="D27" s="17"/>
      <c r="E27" s="18"/>
    </row>
    <row r="28" ht="15.75" customHeight="1">
      <c r="A28" s="3">
        <f t="shared" si="22"/>
        <v>2003</v>
      </c>
      <c r="B28" s="25">
        <f t="shared" ref="B28:B29" si="24">G$7</f>
        <v>1</v>
      </c>
      <c r="C28" s="36" t="str">
        <f t="shared" ref="C28:C29" si="25">H8</f>
        <v>FILTRO DE AIRE EXTERIOR 02/971664</v>
      </c>
      <c r="D28" s="17"/>
      <c r="E28" s="18"/>
    </row>
    <row r="29" ht="15.75" customHeight="1">
      <c r="A29" s="3">
        <f t="shared" si="22"/>
        <v>2004</v>
      </c>
      <c r="B29" s="25">
        <f t="shared" si="24"/>
        <v>1</v>
      </c>
      <c r="C29" s="36" t="str">
        <f t="shared" si="25"/>
        <v>FILTRO DE AIRE INTERIOR</v>
      </c>
      <c r="D29" s="17"/>
      <c r="E29" s="18"/>
    </row>
    <row r="30" ht="15.75" customHeight="1">
      <c r="A30" s="3">
        <f t="shared" si="22"/>
        <v>2005</v>
      </c>
      <c r="B30" s="44">
        <f t="shared" ref="B30:C30" si="26">G12</f>
        <v>1</v>
      </c>
      <c r="C30" s="46" t="str">
        <f t="shared" si="26"/>
        <v>LOGO ADHESIVO MANTENCION </v>
      </c>
      <c r="D30" s="17"/>
      <c r="E30" s="1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2">
    <mergeCell ref="C5:E5"/>
    <mergeCell ref="C6:E6"/>
    <mergeCell ref="C7:E7"/>
    <mergeCell ref="C8:E8"/>
    <mergeCell ref="C9:E9"/>
    <mergeCell ref="C11:E11"/>
    <mergeCell ref="C12:E12"/>
    <mergeCell ref="C21:E21"/>
    <mergeCell ref="C22:E22"/>
    <mergeCell ref="C25:E25"/>
    <mergeCell ref="C26:E26"/>
    <mergeCell ref="C27:E27"/>
    <mergeCell ref="C28:E28"/>
    <mergeCell ref="C29:E29"/>
    <mergeCell ref="C30:E30"/>
    <mergeCell ref="C13:E13"/>
    <mergeCell ref="C14:E14"/>
    <mergeCell ref="C15:E15"/>
    <mergeCell ref="C17:E17"/>
    <mergeCell ref="C18:E18"/>
    <mergeCell ref="C19:E19"/>
    <mergeCell ref="C20:E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2010-11-25T20:28:21Z</dcterms:created>
  <dc:creator>www.intercambiosvirtuales.org</dc:creator>
</cp:coreProperties>
</file>